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N3\CCCH\"/>
    </mc:Choice>
  </mc:AlternateContent>
  <xr:revisionPtr revIDLastSave="0" documentId="8_{C5F3994A-B2E1-42D3-8F10-EB19A62B0109}" xr6:coauthVersionLast="47" xr6:coauthVersionMax="47" xr10:uidLastSave="{00000000-0000-0000-0000-000000000000}"/>
  <bookViews>
    <workbookView xWindow="2775" yWindow="1530" windowWidth="9480" windowHeight="9090" xr2:uid="{EC56CED6-2A9A-44E8-8543-E1688CCE4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" i="1" l="1"/>
  <c r="W16" i="1"/>
  <c r="W11" i="1"/>
  <c r="W12" i="1"/>
  <c r="E11" i="1"/>
  <c r="Y8" i="1"/>
  <c r="W8" i="1"/>
  <c r="W4" i="1"/>
  <c r="W7" i="1"/>
  <c r="R8" i="1"/>
  <c r="W3" i="1"/>
</calcChain>
</file>

<file path=xl/sharedStrings.xml><?xml version="1.0" encoding="utf-8"?>
<sst xmlns="http://schemas.openxmlformats.org/spreadsheetml/2006/main" count="23" uniqueCount="15">
  <si>
    <t>Tìm vị trí cân bằng</t>
  </si>
  <si>
    <t>balancing_point = 2</t>
  </si>
  <si>
    <t>Angle_X</t>
  </si>
  <si>
    <t>Angle_Y</t>
  </si>
  <si>
    <t>balancing_point = 3</t>
  </si>
  <si>
    <t>balancing_point = 4</t>
  </si>
  <si>
    <t>Three_way - vertex</t>
  </si>
  <si>
    <t>balancing_point = 1</t>
  </si>
  <si>
    <t>motor 1 - edge bw23</t>
  </si>
  <si>
    <t>motor 2 - edge bw13</t>
  </si>
  <si>
    <t>motor 3 - edge bw12</t>
  </si>
  <si>
    <t>R</t>
  </si>
  <si>
    <t>L</t>
  </si>
  <si>
    <t>Maximium</t>
  </si>
  <si>
    <t>Half and 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</si>
</sst>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B23C-5F6C-417F-9080-3A9F6B904346}">
  <dimension ref="A1:AC16"/>
  <sheetViews>
    <sheetView tabSelected="1" topLeftCell="E1" zoomScaleNormal="100" workbookViewId="0">
      <selection activeCell="AC5" sqref="AC5"/>
    </sheetView>
  </sheetViews>
  <sheetFormatPr defaultRowHeight="15" x14ac:dyDescent="0.25"/>
  <cols>
    <col min="1" max="1" width="21.42578125" customWidth="1"/>
  </cols>
  <sheetData>
    <row r="1" spans="1:29" x14ac:dyDescent="0.25">
      <c r="A1" t="s">
        <v>0</v>
      </c>
      <c r="Y1" t="s">
        <v>13</v>
      </c>
      <c r="AB1" t="s">
        <v>14</v>
      </c>
    </row>
    <row r="2" spans="1:29" x14ac:dyDescent="0.25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Y2" t="s">
        <v>11</v>
      </c>
      <c r="Z2" t="s">
        <v>12</v>
      </c>
      <c r="AB2" t="s">
        <v>11</v>
      </c>
      <c r="AC2" t="s">
        <v>12</v>
      </c>
    </row>
    <row r="3" spans="1:29" x14ac:dyDescent="0.25">
      <c r="A3" t="s">
        <v>8</v>
      </c>
      <c r="B3" t="s">
        <v>2</v>
      </c>
      <c r="C3">
        <v>-19.11</v>
      </c>
      <c r="D3">
        <v>-18.940000000000001</v>
      </c>
      <c r="E3">
        <v>-19.39</v>
      </c>
      <c r="F3">
        <v>-19.48</v>
      </c>
      <c r="G3">
        <v>-19.350000000000001</v>
      </c>
      <c r="H3">
        <v>-19.25</v>
      </c>
      <c r="I3">
        <v>-19.72</v>
      </c>
      <c r="J3">
        <v>-19.28</v>
      </c>
      <c r="K3">
        <v>-19.16</v>
      </c>
      <c r="L3">
        <v>-19.12</v>
      </c>
      <c r="M3">
        <v>-19.41</v>
      </c>
      <c r="N3">
        <v>-19.21</v>
      </c>
      <c r="O3">
        <v>-19.440000000000001</v>
      </c>
      <c r="P3">
        <v>-19.649999999999999</v>
      </c>
      <c r="Q3">
        <v>-19.899999999999999</v>
      </c>
      <c r="R3">
        <v>-19.600000000000001</v>
      </c>
      <c r="S3">
        <v>-19.29</v>
      </c>
      <c r="T3">
        <v>-19.329999999999998</v>
      </c>
      <c r="U3">
        <v>-19.75</v>
      </c>
      <c r="V3">
        <v>-19.62</v>
      </c>
      <c r="W3" s="1">
        <f>AVERAGE(C3:V3)</f>
        <v>-19.399999999999999</v>
      </c>
      <c r="Y3">
        <v>35.15</v>
      </c>
      <c r="Z3">
        <v>-55.5</v>
      </c>
      <c r="AB3">
        <v>-6.78</v>
      </c>
      <c r="AC3">
        <v>-30.4</v>
      </c>
    </row>
    <row r="4" spans="1:29" x14ac:dyDescent="0.25">
      <c r="A4" t="s">
        <v>1</v>
      </c>
      <c r="B4" t="s">
        <v>3</v>
      </c>
      <c r="C4">
        <v>29.33</v>
      </c>
      <c r="D4">
        <v>29.91</v>
      </c>
      <c r="E4">
        <v>29.85</v>
      </c>
      <c r="F4">
        <v>29.71</v>
      </c>
      <c r="G4">
        <v>29.56</v>
      </c>
      <c r="H4">
        <v>29.43</v>
      </c>
      <c r="I4">
        <v>30.01</v>
      </c>
      <c r="J4">
        <v>30.17</v>
      </c>
      <c r="K4">
        <v>29.97</v>
      </c>
      <c r="L4">
        <v>29.31</v>
      </c>
      <c r="M4">
        <v>29.05</v>
      </c>
      <c r="N4">
        <v>29.36</v>
      </c>
      <c r="O4">
        <v>28.92</v>
      </c>
      <c r="P4">
        <v>29.14</v>
      </c>
      <c r="Q4">
        <v>29.08</v>
      </c>
      <c r="R4">
        <v>29.69</v>
      </c>
      <c r="S4">
        <v>29.08</v>
      </c>
      <c r="T4">
        <v>29.45</v>
      </c>
      <c r="U4">
        <v>29.68</v>
      </c>
      <c r="V4">
        <v>29.53</v>
      </c>
      <c r="W4" s="1">
        <f t="shared" ref="W4:W8" si="0">AVERAGE(C4:V4)</f>
        <v>29.511500000000002</v>
      </c>
      <c r="Y4">
        <v>49.58</v>
      </c>
      <c r="Z4">
        <v>-7.88</v>
      </c>
      <c r="AB4">
        <v>35.4</v>
      </c>
      <c r="AC4">
        <v>22.58</v>
      </c>
    </row>
    <row r="5" spans="1:29" x14ac:dyDescent="0.25">
      <c r="W5" s="1"/>
    </row>
    <row r="6" spans="1:29" x14ac:dyDescent="0.25">
      <c r="W6" s="1"/>
    </row>
    <row r="7" spans="1:29" x14ac:dyDescent="0.25">
      <c r="A7" t="s">
        <v>9</v>
      </c>
      <c r="B7" t="s">
        <v>2</v>
      </c>
      <c r="C7">
        <v>36.049999999999997</v>
      </c>
      <c r="D7">
        <v>36.06</v>
      </c>
      <c r="E7">
        <v>36.04</v>
      </c>
      <c r="F7">
        <v>36.049999999999997</v>
      </c>
      <c r="G7">
        <v>36.06</v>
      </c>
      <c r="H7">
        <v>36.049999999999997</v>
      </c>
      <c r="I7">
        <v>36.08</v>
      </c>
      <c r="J7">
        <v>36.07</v>
      </c>
      <c r="K7">
        <v>36.07</v>
      </c>
      <c r="L7">
        <v>36.049999999999997</v>
      </c>
      <c r="M7">
        <v>36.090000000000003</v>
      </c>
      <c r="N7">
        <v>36.090000000000003</v>
      </c>
      <c r="O7">
        <v>36.1</v>
      </c>
      <c r="P7">
        <v>36.1</v>
      </c>
      <c r="Q7">
        <v>36.1</v>
      </c>
      <c r="R7">
        <v>36.08</v>
      </c>
      <c r="S7">
        <v>36.049999999999997</v>
      </c>
      <c r="T7">
        <v>36.06</v>
      </c>
      <c r="U7">
        <v>36.08</v>
      </c>
      <c r="V7">
        <v>36.11</v>
      </c>
      <c r="W7" s="1">
        <f t="shared" si="0"/>
        <v>36.072000000000003</v>
      </c>
      <c r="Y7">
        <v>35.6</v>
      </c>
      <c r="Z7">
        <v>36.51</v>
      </c>
      <c r="AB7">
        <v>35.82</v>
      </c>
      <c r="AC7">
        <v>36.43</v>
      </c>
    </row>
    <row r="8" spans="1:29" x14ac:dyDescent="0.25">
      <c r="A8" t="s">
        <v>4</v>
      </c>
      <c r="B8" t="s">
        <v>3</v>
      </c>
      <c r="C8">
        <v>-3.38</v>
      </c>
      <c r="D8">
        <v>-3.44</v>
      </c>
      <c r="E8">
        <v>-3.77</v>
      </c>
      <c r="F8">
        <v>-3.42</v>
      </c>
      <c r="G8">
        <v>-3.3</v>
      </c>
      <c r="H8">
        <v>-3.4</v>
      </c>
      <c r="I8">
        <v>-3.26</v>
      </c>
      <c r="J8">
        <v>-3.24</v>
      </c>
      <c r="K8">
        <v>-3.28</v>
      </c>
      <c r="L8">
        <v>-3.44</v>
      </c>
      <c r="M8">
        <v>-3.7</v>
      </c>
      <c r="N8">
        <v>-3.68</v>
      </c>
      <c r="O8">
        <v>-3.67</v>
      </c>
      <c r="P8">
        <v>-3.83</v>
      </c>
      <c r="Q8">
        <v>-3.6</v>
      </c>
      <c r="R8">
        <f>-3.81</f>
        <v>-3.81</v>
      </c>
      <c r="S8">
        <v>-3.29</v>
      </c>
      <c r="T8">
        <v>-3.4</v>
      </c>
      <c r="U8">
        <v>-3.53</v>
      </c>
      <c r="V8">
        <v>-3.55</v>
      </c>
      <c r="W8" s="1">
        <f>AVERAGE(C8:V8)</f>
        <v>-3.4994999999999998</v>
      </c>
      <c r="Y8">
        <f>-51.63</f>
        <v>-51.63</v>
      </c>
      <c r="Z8">
        <v>51.11</v>
      </c>
      <c r="AB8">
        <v>-16.52</v>
      </c>
      <c r="AC8">
        <v>10.29</v>
      </c>
    </row>
    <row r="9" spans="1:29" x14ac:dyDescent="0.25">
      <c r="W9" s="1"/>
    </row>
    <row r="10" spans="1:29" x14ac:dyDescent="0.25">
      <c r="W10" s="1"/>
    </row>
    <row r="11" spans="1:29" x14ac:dyDescent="0.25">
      <c r="A11" t="s">
        <v>10</v>
      </c>
      <c r="B11" t="s">
        <v>2</v>
      </c>
      <c r="C11">
        <v>-18.440000000000001</v>
      </c>
      <c r="D11">
        <v>-18.649999999999999</v>
      </c>
      <c r="E11">
        <f>-18.47</f>
        <v>-18.47</v>
      </c>
      <c r="F11">
        <v>-18.25</v>
      </c>
      <c r="G11">
        <v>-18.5</v>
      </c>
      <c r="H11">
        <v>-18.63</v>
      </c>
      <c r="I11">
        <v>-18.39</v>
      </c>
      <c r="J11">
        <v>-18.79</v>
      </c>
      <c r="K11">
        <v>-18.21</v>
      </c>
      <c r="L11">
        <v>-18.46</v>
      </c>
      <c r="M11">
        <v>-18.57</v>
      </c>
      <c r="N11">
        <v>-18.11</v>
      </c>
      <c r="O11">
        <v>-17.89</v>
      </c>
      <c r="P11">
        <v>-17.95</v>
      </c>
      <c r="Q11">
        <v>-17.77</v>
      </c>
      <c r="R11">
        <v>-18.16</v>
      </c>
      <c r="S11">
        <v>-18</v>
      </c>
      <c r="T11">
        <v>-18.39</v>
      </c>
      <c r="U11">
        <v>-17.809999999999999</v>
      </c>
      <c r="V11">
        <v>-18.23</v>
      </c>
      <c r="W11" s="1">
        <f t="shared" ref="W9:W15" si="1">AVERAGE(C11:V11)</f>
        <v>-18.283499999999997</v>
      </c>
      <c r="Y11">
        <v>-53.81</v>
      </c>
      <c r="Z11">
        <v>37.28</v>
      </c>
      <c r="AB11">
        <v>-35.659999999999997</v>
      </c>
      <c r="AC11">
        <v>1.26</v>
      </c>
    </row>
    <row r="12" spans="1:29" x14ac:dyDescent="0.25">
      <c r="A12" t="s">
        <v>5</v>
      </c>
      <c r="B12" t="s">
        <v>3</v>
      </c>
      <c r="C12">
        <v>-34.35</v>
      </c>
      <c r="D12">
        <v>-34.380000000000003</v>
      </c>
      <c r="E12">
        <v>-34.57</v>
      </c>
      <c r="F12">
        <v>-34.51</v>
      </c>
      <c r="G12">
        <v>-34.630000000000003</v>
      </c>
      <c r="H12">
        <v>-34.79</v>
      </c>
      <c r="I12">
        <v>-34.54</v>
      </c>
      <c r="J12">
        <v>-34.409999999999997</v>
      </c>
      <c r="K12">
        <v>-34.21</v>
      </c>
      <c r="L12">
        <v>-34.53</v>
      </c>
      <c r="M12">
        <v>-34.36</v>
      </c>
      <c r="N12">
        <v>-34.76</v>
      </c>
      <c r="O12">
        <v>-34.82</v>
      </c>
      <c r="P12">
        <v>-34.17</v>
      </c>
      <c r="Q12">
        <v>-34.6</v>
      </c>
      <c r="R12">
        <v>-34.659999999999997</v>
      </c>
      <c r="S12">
        <v>-34.72</v>
      </c>
      <c r="T12">
        <v>-34.700000000000003</v>
      </c>
      <c r="U12">
        <v>-34.83</v>
      </c>
      <c r="V12">
        <v>-34.67</v>
      </c>
      <c r="W12" s="1">
        <f t="shared" si="1"/>
        <v>-34.560500000000005</v>
      </c>
      <c r="Y12">
        <v>-7.22</v>
      </c>
      <c r="Z12">
        <v>-53.42</v>
      </c>
      <c r="AB12">
        <v>-24.22</v>
      </c>
      <c r="AC12">
        <v>-41.72</v>
      </c>
    </row>
    <row r="13" spans="1:29" x14ac:dyDescent="0.25">
      <c r="W13" s="1"/>
    </row>
    <row r="14" spans="1:29" x14ac:dyDescent="0.25">
      <c r="W14" s="1"/>
    </row>
    <row r="15" spans="1:29" x14ac:dyDescent="0.25">
      <c r="A15" t="s">
        <v>6</v>
      </c>
      <c r="B15" t="s">
        <v>2</v>
      </c>
      <c r="C15">
        <v>3.09</v>
      </c>
      <c r="D15">
        <v>-0.57999999999999996</v>
      </c>
      <c r="E15">
        <v>-0.4</v>
      </c>
      <c r="F15">
        <v>-1.1200000000000001</v>
      </c>
      <c r="G15">
        <v>-1.45</v>
      </c>
      <c r="H15">
        <v>-1.21</v>
      </c>
      <c r="I15">
        <v>0.62</v>
      </c>
      <c r="J15">
        <v>0.28000000000000003</v>
      </c>
      <c r="K15">
        <v>2.37</v>
      </c>
      <c r="L15">
        <v>3.05</v>
      </c>
      <c r="M15">
        <v>2.37</v>
      </c>
      <c r="N15">
        <v>1.94</v>
      </c>
      <c r="O15">
        <v>1.24</v>
      </c>
      <c r="P15">
        <v>0.43</v>
      </c>
      <c r="Q15">
        <v>0.27</v>
      </c>
      <c r="R15">
        <v>-0.21</v>
      </c>
      <c r="S15">
        <v>7.0000000000000007E-2</v>
      </c>
      <c r="T15">
        <v>-0.04</v>
      </c>
      <c r="U15">
        <v>-0.23</v>
      </c>
      <c r="V15">
        <v>-0.11</v>
      </c>
      <c r="W15" s="1">
        <f>AVERAGE(C15:V15)</f>
        <v>0.51899999999999991</v>
      </c>
      <c r="Y15">
        <v>35.229999999999997</v>
      </c>
      <c r="Z15">
        <v>-55.74</v>
      </c>
      <c r="AB15">
        <v>-16.850000000000001</v>
      </c>
      <c r="AC15">
        <v>12.18</v>
      </c>
    </row>
    <row r="16" spans="1:29" x14ac:dyDescent="0.25">
      <c r="A16" t="s">
        <v>7</v>
      </c>
      <c r="B16" t="s">
        <v>3</v>
      </c>
      <c r="C16">
        <v>-2.0499999999999998</v>
      </c>
      <c r="D16">
        <v>-3.18</v>
      </c>
      <c r="E16">
        <v>-2.16</v>
      </c>
      <c r="F16">
        <v>-2.38</v>
      </c>
      <c r="G16">
        <v>-3.18</v>
      </c>
      <c r="H16">
        <v>-1.75</v>
      </c>
      <c r="I16">
        <v>0.03</v>
      </c>
      <c r="J16">
        <v>-0.2</v>
      </c>
      <c r="K16">
        <v>-2.2200000000000002</v>
      </c>
      <c r="L16">
        <v>-2.29</v>
      </c>
      <c r="M16">
        <v>-1.24</v>
      </c>
      <c r="N16">
        <v>-1.7</v>
      </c>
      <c r="O16">
        <v>-1.1399999999999999</v>
      </c>
      <c r="P16">
        <v>-2.0099999999999998</v>
      </c>
      <c r="Q16">
        <v>-2.25</v>
      </c>
      <c r="R16">
        <v>-2.08</v>
      </c>
      <c r="S16">
        <v>-1.57</v>
      </c>
      <c r="T16">
        <v>-1.6</v>
      </c>
      <c r="U16">
        <v>-1.9</v>
      </c>
      <c r="V16">
        <v>-1.94</v>
      </c>
      <c r="W16" s="1">
        <f>AVERAGE(C16:V16)</f>
        <v>-1.8404999999999998</v>
      </c>
      <c r="Y16">
        <v>3.51</v>
      </c>
      <c r="Z16">
        <v>-7.11</v>
      </c>
      <c r="AB16">
        <v>-1.56</v>
      </c>
      <c r="AC16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2022-12-02T15:44:46Z</dcterms:created>
  <dcterms:modified xsi:type="dcterms:W3CDTF">2022-12-02T17:47:39Z</dcterms:modified>
</cp:coreProperties>
</file>